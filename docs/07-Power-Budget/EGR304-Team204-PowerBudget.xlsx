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680DD397BB286748/Desktop/"/>
    </mc:Choice>
  </mc:AlternateContent>
  <xr:revisionPtr revIDLastSave="6" documentId="8_{83D213E8-5323-4A14-9CF0-5E87043B7F09}" xr6:coauthVersionLast="47" xr6:coauthVersionMax="47" xr10:uidLastSave="{4D8A2958-1580-4219-AF86-7E6FCA222F52}"/>
  <bookViews>
    <workbookView xWindow="-98" yWindow="-98" windowWidth="28996" windowHeight="15675"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 r="G37" i="1" s="1"/>
  <c r="G73" i="1"/>
  <c r="G74" i="1" s="1"/>
  <c r="G46" i="1"/>
  <c r="G48" i="1" s="1"/>
  <c r="G22" i="1"/>
  <c r="G21" i="1"/>
  <c r="G20" i="1"/>
  <c r="G61" i="1" l="1"/>
  <c r="G23" i="1"/>
  <c r="G25" i="1" s="1"/>
  <c r="G28" i="1" s="1"/>
  <c r="G40" i="1"/>
  <c r="G51" i="1"/>
  <c r="G6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<sst xmlns="http://schemas.openxmlformats.org/spreadsheetml/2006/main" count="162" uniqueCount="66">
  <si>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</si>
  <si>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</si>
  <si>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</si>
  <si>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</si>
  <si>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</si>
  <si>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</si>
  <si>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</si>
  <si>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</si>
  <si>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</si>
  <si>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</si>
  <si>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</si>
  <si>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</si>
  <si>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</si>
  <si>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</si>
  <si>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</si>
  <si>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</si>
  <si>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</si>
  <si>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</si>
  <si>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</si>
  <si>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 xml:space="preserve"> +5V Power Rail</t>
  </si>
  <si>
    <t>Total Current Required on +5V Rail</t>
  </si>
  <si>
    <t>c2. Regulator or Source Choice</t>
  </si>
  <si>
    <t>Total Remaining Current Available on +5V Rail</t>
  </si>
  <si>
    <t>c3. Regulator or Source Choice</t>
  </si>
  <si>
    <t>Total Current Required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</si>
  <si>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</si>
  <si>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</si>
  <si>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</si>
  <si>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</si>
  <si>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Rails Connected to External Power Source 1</t>
  </si>
  <si>
    <t>Total Remaining Current Available on External Power Source 1</t>
  </si>
  <si>
    <t>External Power Source 2</t>
  </si>
  <si>
    <t>Power Source 2 Selection</t>
  </si>
  <si>
    <t>Battery</t>
  </si>
  <si>
    <t xml:space="preserve"> +9V</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</si>
  <si>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</si>
  <si>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</si>
  <si>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</si>
  <si>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</si>
  <si>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</si>
  <si>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</si>
  <si>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</si>
  <si>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</si>
  <si>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PIC18F57Q43 Nano</t>
  </si>
  <si>
    <t>Microcontroller</t>
  </si>
  <si>
    <t>DM182029</t>
  </si>
  <si>
    <t>Motor Driver (logic)</t>
  </si>
  <si>
    <t>+5V</t>
  </si>
  <si>
    <t>DC Gearmotor (through driver)</t>
  </si>
  <si>
    <t>DFRobot 6 V Metal Gearmotor</t>
  </si>
  <si>
    <t>FIT0495-A</t>
  </si>
  <si>
    <t>ClapSense</t>
  </si>
  <si>
    <t xml:space="preserve"> +6V Power Rail</t>
  </si>
  <si>
    <t>Total Current Required on +6V Rail</t>
  </si>
  <si>
    <t>+3.3V Power Rail</t>
  </si>
  <si>
    <t>Caleb Yuen</t>
  </si>
  <si>
    <t>Total Remaining Current Available on +9V Rail</t>
  </si>
  <si>
    <t>0930</t>
  </si>
  <si>
    <t>AC/DC Adapter Model 0930</t>
  </si>
  <si>
    <t>Plug-in Wall Supply (Barrel Jack)</t>
  </si>
  <si>
    <t>100-240 VAC</t>
  </si>
  <si>
    <t>FAN8100N</t>
  </si>
  <si>
    <t>Status LEDs</t>
  </si>
  <si>
    <t>5-6V</t>
  </si>
  <si>
    <t>N/A</t>
  </si>
  <si>
    <t>The Master Controller (Hub) subsystem of the ClapSense project uses a 9 V, 2 A AC/DC wall adapter (Model 0930) as the main source. On the hub PCB, a single LM7805 linear regulator converts 9 V to a 5 V system rail. This 5 V rail powers the PIC18F57Q43 Curiosity Nano, the FAN8100N motor driver, the DFRobot 6 V metal gearmotor (operated at 5 V), and the status LEDs. The worst-case current on the 5 V rail is approximately 0.66 A; with a 25% design margin this becomes about 0.82 A, which is within both the LM7805’s 1 A rating and the 2 A rating of the wall adapter.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</si>
</sst>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amily val="2"/>
    </font>
    <font>
      <sz val="12"/>
      <color rgb="FF000000"/>
      <name val="Calibri"/>
      <family val="2"/>
    </font>
    <font>
      <b/>
      <sz val="12"/>
      <color rgb="FF000000"/>
      <name val="Calibri"/>
      <family val="2"/>
    </font>
    <font>
      <b/>
      <i/>
      <sz val="12"/>
      <color rgb="FF000000"/>
      <name val="Arial"/>
      <family val="2"/>
    </font>
    <font>
      <b/>
      <i/>
      <sz val="12"/>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80">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4" fillId="3" borderId="6" xfId="0" applyFont="1" applyFill="1" applyBorder="1" applyAlignment="1">
      <alignment horizontal="center" wrapText="1"/>
    </xf>
    <xf numFmtId="0" fontId="6" fillId="0" borderId="0" xfId="0" quotePrefix="1" applyFont="1" applyAlignment="1">
      <alignment horizontal="center"/>
    </xf>
    <xf numFmtId="0" fontId="9" fillId="0" borderId="0" xfId="0" quotePrefix="1" applyFont="1" applyAlignment="1">
      <alignment horizontal="center"/>
    </xf>
    <xf numFmtId="0" fontId="10" fillId="0" borderId="8" xfId="0" applyFont="1" applyBorder="1"/>
    <xf numFmtId="0" fontId="12" fillId="3" borderId="10" xfId="0" applyFont="1" applyFill="1" applyBorder="1"/>
    <xf numFmtId="0" fontId="10" fillId="0" borderId="0" xfId="0" applyFont="1"/>
    <xf numFmtId="0" fontId="12" fillId="3" borderId="10" xfId="0" quotePrefix="1" applyFont="1" applyFill="1" applyBorder="1"/>
    <xf numFmtId="0" fontId="9" fillId="0" borderId="0" xfId="0" applyFont="1" applyAlignment="1">
      <alignment horizontal="left"/>
    </xf>
    <xf numFmtId="0" fontId="11" fillId="0" borderId="1" xfId="0" applyFont="1" applyBorder="1" applyAlignment="1">
      <alignment horizontal="center"/>
    </xf>
    <xf numFmtId="0" fontId="3" fillId="0" borderId="1" xfId="0" applyFont="1" applyBorder="1" applyAlignment="1">
      <alignment horizontal="center"/>
    </xf>
    <xf numFmtId="0" fontId="2" fillId="0" borderId="1" xfId="0" applyFont="1" applyBorder="1" applyAlignment="1">
      <alignment horizontal="center"/>
    </xf>
    <xf numFmtId="0" fontId="9" fillId="0" borderId="0" xfId="0" applyFont="1" applyAlignment="1">
      <alignment horizontal="center"/>
    </xf>
    <xf numFmtId="0" fontId="9" fillId="0" borderId="0" xfId="0" applyFont="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12" fillId="0" borderId="0" xfId="0" applyFont="1" applyAlignment="1">
      <alignment horizontal="right"/>
    </xf>
    <xf numFmtId="49" fontId="12" fillId="0" borderId="12" xfId="0" applyNumberFormat="1" applyFont="1" applyBorder="1" applyAlignment="1">
      <alignment horizontal="right"/>
    </xf>
    <xf numFmtId="0" fontId="3" fillId="0" borderId="12" xfId="0" applyFont="1" applyBorder="1"/>
    <xf numFmtId="0" fontId="5" fillId="0" borderId="0" xfId="0" applyFont="1" applyAlignment="1">
      <alignment horizontal="right"/>
    </xf>
    <xf numFmtId="0" fontId="13" fillId="0" borderId="0" xfId="0" applyFont="1" applyAlignment="1">
      <alignment horizontal="right"/>
    </xf>
    <xf numFmtId="0" fontId="5" fillId="0" borderId="11" xfId="0" applyFont="1" applyBorder="1" applyAlignment="1">
      <alignment wrapText="1"/>
    </xf>
    <xf numFmtId="0" fontId="3" fillId="0" borderId="13" xfId="0" applyFont="1" applyBorder="1"/>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3" fillId="0" borderId="15" xfId="0" applyFont="1" applyBorder="1"/>
    <xf numFmtId="0" fontId="5" fillId="2" borderId="0" xfId="0" applyFont="1" applyFill="1"/>
    <xf numFmtId="0" fontId="9" fillId="0" borderId="0" xfId="0" applyFont="1" applyAlignment="1">
      <alignment horizontal="center" wrapText="1"/>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77"/>
  <sheetViews>
    <sheetView tabSelected="1" zoomScale="50" zoomScaleNormal="50" workbookViewId="0">
      <selection activeCell="B6" sqref="B6"/>
    </sheetView>
  </sheetViews>
  <sheetFormatPr defaultColWidth="13.4375" defaultRowHeight="15.75" customHeight="1" x14ac:dyDescent="0.5"/>
  <cols>
    <col min="1" max="1" width="33.1875" customWidth="1"/>
    <col min="2" max="2" width="25.4375" customWidth="1"/>
    <col min="3" max="3" width="18.25" customWidth="1"/>
    <col min="4" max="4" width="25.5625" customWidth="1"/>
    <col min="5" max="5" width="10.5" customWidth="1"/>
    <col min="6" max="6" width="35.4375" customWidth="1"/>
    <col min="7" max="7" width="30.3125" customWidth="1"/>
    <col min="8" max="8" width="9" customWidth="1"/>
  </cols>
  <sheetData>
    <row r="1" spans="1:8" ht="30" customHeight="1" x14ac:dyDescent="0.9">
      <c r="A1" s="61" t="s">
        <v>0</v>
      </c>
      <c r="B1" s="62"/>
      <c r="C1" s="62"/>
      <c r="D1" s="62"/>
      <c r="E1" s="62"/>
      <c r="F1" s="62"/>
      <c r="G1" s="62"/>
      <c r="H1" s="62"/>
    </row>
    <row r="2" spans="1:8" ht="15" customHeight="1" x14ac:dyDescent="0.5">
      <c r="A2" s="1" t="s">
        <v>1</v>
      </c>
      <c r="B2" s="57">
        <v>204</v>
      </c>
      <c r="D2" s="2"/>
      <c r="E2" s="2"/>
    </row>
    <row r="3" spans="1:8" ht="15" customHeight="1" x14ac:dyDescent="0.5">
      <c r="A3" s="3" t="s">
        <v>2</v>
      </c>
      <c r="B3" s="56" t="s">
        <v>51</v>
      </c>
      <c r="C3" s="4"/>
      <c r="D3" s="2"/>
      <c r="E3" s="2"/>
      <c r="F3" s="4"/>
      <c r="G3" s="4"/>
      <c r="H3" s="4"/>
    </row>
    <row r="4" spans="1:8" ht="15" customHeight="1" x14ac:dyDescent="0.5">
      <c r="A4" s="3" t="s">
        <v>3</v>
      </c>
      <c r="B4" s="56" t="s">
        <v>55</v>
      </c>
      <c r="C4" s="4"/>
      <c r="D4" s="2"/>
      <c r="E4" s="2"/>
      <c r="F4" s="4"/>
      <c r="G4" s="4"/>
      <c r="H4" s="4"/>
    </row>
    <row r="5" spans="1:8" ht="15" customHeight="1" x14ac:dyDescent="0.5">
      <c r="A5" s="3" t="s">
        <v>4</v>
      </c>
      <c r="B5" s="58">
        <v>2</v>
      </c>
      <c r="C5" s="4"/>
      <c r="D5" s="2"/>
      <c r="E5" s="2"/>
      <c r="F5" s="4"/>
      <c r="G5" s="4"/>
      <c r="H5" s="4"/>
    </row>
    <row r="6" spans="1:8" ht="15" customHeight="1" x14ac:dyDescent="0.5">
      <c r="A6" s="5"/>
      <c r="B6" s="4"/>
      <c r="C6" s="4"/>
      <c r="D6" s="2"/>
      <c r="E6" s="2"/>
      <c r="F6" s="4"/>
      <c r="G6" s="4"/>
      <c r="H6" s="4"/>
    </row>
    <row r="7" spans="1:8" ht="15" customHeight="1" x14ac:dyDescent="0.5">
      <c r="A7" s="63" t="s">
        <v>5</v>
      </c>
      <c r="B7" s="64"/>
      <c r="C7" s="64"/>
      <c r="D7" s="64"/>
      <c r="E7" s="64"/>
      <c r="F7" s="64"/>
      <c r="G7" s="64"/>
      <c r="H7" s="65"/>
    </row>
    <row r="8" spans="1:8" ht="15" customHeight="1" x14ac:dyDescent="0.5">
      <c r="A8" s="6" t="s">
        <v>6</v>
      </c>
      <c r="B8" s="7" t="s">
        <v>7</v>
      </c>
      <c r="C8" s="7" t="s">
        <v>8</v>
      </c>
      <c r="D8" s="8" t="s">
        <v>9</v>
      </c>
      <c r="E8" s="8" t="s">
        <v>10</v>
      </c>
      <c r="F8" s="48" t="s">
        <v>11</v>
      </c>
      <c r="G8" s="10" t="s">
        <v>12</v>
      </c>
      <c r="H8" s="10" t="s">
        <v>13</v>
      </c>
    </row>
    <row r="9" spans="1:8" ht="15" customHeight="1" x14ac:dyDescent="0.5">
      <c r="A9" s="11" t="s">
        <v>44</v>
      </c>
      <c r="B9" t="s">
        <v>43</v>
      </c>
      <c r="C9" t="s">
        <v>45</v>
      </c>
      <c r="D9" s="50" t="s">
        <v>47</v>
      </c>
      <c r="E9" s="13">
        <v>1</v>
      </c>
      <c r="F9">
        <v>50</v>
      </c>
      <c r="G9" s="14">
        <v>25</v>
      </c>
      <c r="H9" s="15" t="s">
        <v>14</v>
      </c>
    </row>
    <row r="10" spans="1:8" ht="15" customHeight="1" x14ac:dyDescent="0.5">
      <c r="A10" s="11" t="s">
        <v>46</v>
      </c>
      <c r="B10" t="s">
        <v>61</v>
      </c>
      <c r="C10" t="s">
        <v>61</v>
      </c>
      <c r="D10" s="49" t="s">
        <v>47</v>
      </c>
      <c r="E10" s="13">
        <v>1</v>
      </c>
      <c r="F10">
        <v>50</v>
      </c>
      <c r="G10" s="14">
        <v>10</v>
      </c>
      <c r="H10" s="15" t="s">
        <v>14</v>
      </c>
    </row>
    <row r="11" spans="1:8" ht="15" customHeight="1" x14ac:dyDescent="0.5">
      <c r="A11" s="11" t="s">
        <v>48</v>
      </c>
      <c r="B11" t="s">
        <v>49</v>
      </c>
      <c r="C11" t="s">
        <v>50</v>
      </c>
      <c r="D11" s="50" t="s">
        <v>63</v>
      </c>
      <c r="E11" s="13">
        <v>1</v>
      </c>
      <c r="F11">
        <v>1200</v>
      </c>
      <c r="G11" s="14">
        <v>600</v>
      </c>
      <c r="H11" s="15" t="s">
        <v>14</v>
      </c>
    </row>
    <row r="12" spans="1:8" ht="15" customHeight="1" x14ac:dyDescent="0.5">
      <c r="A12" s="51" t="s">
        <v>62</v>
      </c>
      <c r="B12" s="16"/>
      <c r="C12" s="16"/>
      <c r="D12" s="50" t="s">
        <v>47</v>
      </c>
      <c r="E12" s="12">
        <v>1</v>
      </c>
      <c r="F12" s="16">
        <v>20</v>
      </c>
      <c r="G12" s="14">
        <v>20</v>
      </c>
      <c r="H12" s="15" t="s">
        <v>14</v>
      </c>
    </row>
    <row r="13" spans="1:8" ht="15" customHeight="1" x14ac:dyDescent="0.5">
      <c r="A13" s="51"/>
      <c r="C13" s="16"/>
      <c r="D13" s="50"/>
      <c r="E13" s="13"/>
      <c r="G13" s="14"/>
      <c r="H13" s="15"/>
    </row>
    <row r="14" spans="1:8" ht="15" customHeight="1" x14ac:dyDescent="0.5">
      <c r="A14" s="51"/>
      <c r="B14" s="16"/>
      <c r="D14" s="50"/>
      <c r="E14" s="13"/>
      <c r="G14" s="14"/>
      <c r="H14" s="15"/>
    </row>
    <row r="15" spans="1:8" ht="15" customHeight="1" x14ac:dyDescent="0.5">
      <c r="A15" s="17"/>
      <c r="B15" s="5"/>
      <c r="C15" s="4"/>
      <c r="D15" s="18"/>
      <c r="E15" s="2"/>
      <c r="F15" s="4"/>
      <c r="G15" s="19"/>
      <c r="H15" s="19"/>
    </row>
    <row r="16" spans="1:8" ht="15" customHeight="1" x14ac:dyDescent="0.5">
      <c r="A16" s="63" t="s">
        <v>15</v>
      </c>
      <c r="B16" s="64"/>
      <c r="C16" s="64"/>
      <c r="D16" s="64"/>
      <c r="E16" s="64"/>
      <c r="F16" s="64"/>
      <c r="G16" s="64"/>
      <c r="H16" s="65"/>
    </row>
    <row r="17" spans="1:8" ht="15" customHeight="1" x14ac:dyDescent="0.5">
      <c r="A17" s="52" t="s">
        <v>52</v>
      </c>
      <c r="B17" s="7" t="s">
        <v>7</v>
      </c>
      <c r="C17" s="7" t="s">
        <v>8</v>
      </c>
      <c r="D17" s="8" t="s">
        <v>9</v>
      </c>
      <c r="E17" s="8" t="s">
        <v>10</v>
      </c>
      <c r="F17" s="9" t="s">
        <v>11</v>
      </c>
      <c r="G17" s="10" t="s">
        <v>12</v>
      </c>
      <c r="H17" s="10" t="s">
        <v>13</v>
      </c>
    </row>
    <row r="18" spans="1:8" ht="15" customHeight="1" x14ac:dyDescent="0.5">
      <c r="A18" s="51"/>
      <c r="B18" s="53"/>
      <c r="D18" s="12"/>
      <c r="E18" s="13"/>
      <c r="G18" s="14"/>
      <c r="H18" s="15" t="s">
        <v>14</v>
      </c>
    </row>
    <row r="19" spans="1:8" ht="15" customHeight="1" x14ac:dyDescent="0.5">
      <c r="A19" s="11"/>
      <c r="D19" s="12"/>
      <c r="E19" s="13"/>
      <c r="G19" s="14"/>
      <c r="H19" s="15" t="s">
        <v>14</v>
      </c>
    </row>
    <row r="20" spans="1:8" ht="15" customHeight="1" x14ac:dyDescent="0.5">
      <c r="A20" s="11"/>
      <c r="D20" s="13"/>
      <c r="E20" s="13"/>
      <c r="G20" s="14">
        <f t="shared" ref="G20:G22" si="0">E20*F20</f>
        <v>0</v>
      </c>
      <c r="H20" s="15" t="s">
        <v>14</v>
      </c>
    </row>
    <row r="21" spans="1:8" ht="15" customHeight="1" x14ac:dyDescent="0.5">
      <c r="A21" s="11"/>
      <c r="D21" s="13"/>
      <c r="E21" s="13"/>
      <c r="G21" s="14">
        <f t="shared" si="0"/>
        <v>0</v>
      </c>
      <c r="H21" s="15" t="s">
        <v>14</v>
      </c>
    </row>
    <row r="22" spans="1:8" ht="15" customHeight="1" x14ac:dyDescent="0.5">
      <c r="A22" s="11"/>
      <c r="D22" s="13"/>
      <c r="E22" s="13"/>
      <c r="G22" s="14">
        <f t="shared" si="0"/>
        <v>0</v>
      </c>
      <c r="H22" s="15" t="s">
        <v>14</v>
      </c>
    </row>
    <row r="23" spans="1:8" ht="15" customHeight="1" x14ac:dyDescent="0.5">
      <c r="A23" s="11"/>
      <c r="B23" s="66" t="s">
        <v>16</v>
      </c>
      <c r="C23" s="62"/>
      <c r="D23" s="62"/>
      <c r="E23" s="62"/>
      <c r="F23" s="62"/>
      <c r="G23" s="14">
        <f>SUM(G18:G22)</f>
        <v>0</v>
      </c>
      <c r="H23" s="15" t="s">
        <v>14</v>
      </c>
    </row>
    <row r="24" spans="1:8" ht="15" customHeight="1" x14ac:dyDescent="0.5">
      <c r="A24" s="11"/>
      <c r="B24" s="66" t="s">
        <v>17</v>
      </c>
      <c r="C24" s="62"/>
      <c r="D24" s="62"/>
      <c r="E24" s="62"/>
      <c r="F24" s="62"/>
      <c r="G24" s="22">
        <v>0.25</v>
      </c>
      <c r="H24" s="22"/>
    </row>
    <row r="25" spans="1:8" ht="15" customHeight="1" x14ac:dyDescent="0.5">
      <c r="A25" s="23"/>
      <c r="B25" s="67" t="s">
        <v>53</v>
      </c>
      <c r="C25" s="62"/>
      <c r="D25" s="62"/>
      <c r="E25" s="62"/>
      <c r="F25" s="62"/>
      <c r="G25" s="14">
        <f>G23*(1+G24)</f>
        <v>0</v>
      </c>
      <c r="H25" s="15" t="s">
        <v>14</v>
      </c>
    </row>
    <row r="26" spans="1:8" ht="15" customHeight="1" x14ac:dyDescent="0.5">
      <c r="A26" s="24"/>
      <c r="B26" s="25"/>
      <c r="C26" s="25"/>
      <c r="D26" s="12"/>
      <c r="E26" s="12"/>
      <c r="F26" s="26"/>
      <c r="G26" s="27"/>
      <c r="H26" s="14"/>
    </row>
    <row r="27" spans="1:8" ht="15" customHeight="1" x14ac:dyDescent="0.5">
      <c r="A27" s="24" t="s">
        <v>18</v>
      </c>
      <c r="B27" s="55"/>
      <c r="C27" s="53"/>
      <c r="D27" s="59"/>
      <c r="E27" s="12"/>
      <c r="F27" s="26"/>
      <c r="G27" s="27"/>
      <c r="H27" s="15" t="s">
        <v>14</v>
      </c>
    </row>
    <row r="28" spans="1:8" ht="15" customHeight="1" x14ac:dyDescent="0.5">
      <c r="A28" s="28"/>
      <c r="B28" s="68" t="s">
        <v>56</v>
      </c>
      <c r="C28" s="69"/>
      <c r="D28" s="69"/>
      <c r="E28" s="69"/>
      <c r="F28" s="69"/>
      <c r="G28" s="27">
        <f>G27-G25</f>
        <v>0</v>
      </c>
      <c r="H28" s="15" t="s">
        <v>14</v>
      </c>
    </row>
    <row r="29" spans="1:8" ht="15" customHeight="1" x14ac:dyDescent="0.5">
      <c r="A29" s="20" t="s">
        <v>19</v>
      </c>
      <c r="B29" s="7" t="s">
        <v>7</v>
      </c>
      <c r="C29" s="7" t="s">
        <v>8</v>
      </c>
      <c r="D29" s="8" t="s">
        <v>9</v>
      </c>
      <c r="E29" s="8" t="s">
        <v>10</v>
      </c>
      <c r="F29" s="9" t="s">
        <v>11</v>
      </c>
      <c r="G29" s="29" t="s">
        <v>12</v>
      </c>
      <c r="H29" s="29" t="s">
        <v>13</v>
      </c>
    </row>
    <row r="30" spans="1:8" ht="15" customHeight="1" x14ac:dyDescent="0.5">
      <c r="A30" s="11" t="s">
        <v>44</v>
      </c>
      <c r="B30" t="s">
        <v>43</v>
      </c>
      <c r="C30" t="s">
        <v>45</v>
      </c>
      <c r="D30" s="50" t="s">
        <v>47</v>
      </c>
      <c r="E30" s="13">
        <v>1</v>
      </c>
      <c r="F30">
        <v>50</v>
      </c>
      <c r="G30" s="14">
        <v>25</v>
      </c>
      <c r="H30" s="15" t="s">
        <v>14</v>
      </c>
    </row>
    <row r="31" spans="1:8" ht="15" customHeight="1" x14ac:dyDescent="0.5">
      <c r="A31" s="11" t="s">
        <v>46</v>
      </c>
      <c r="B31" t="s">
        <v>61</v>
      </c>
      <c r="C31" t="s">
        <v>61</v>
      </c>
      <c r="D31" s="49" t="s">
        <v>47</v>
      </c>
      <c r="E31" s="13">
        <v>1</v>
      </c>
      <c r="F31">
        <v>50</v>
      </c>
      <c r="G31" s="14">
        <v>10</v>
      </c>
      <c r="H31" s="15" t="s">
        <v>14</v>
      </c>
    </row>
    <row r="32" spans="1:8" ht="15" customHeight="1" x14ac:dyDescent="0.5">
      <c r="A32" s="11" t="s">
        <v>48</v>
      </c>
      <c r="B32" t="s">
        <v>49</v>
      </c>
      <c r="C32" t="s">
        <v>50</v>
      </c>
      <c r="D32" s="50" t="s">
        <v>63</v>
      </c>
      <c r="E32" s="13">
        <v>1</v>
      </c>
      <c r="F32">
        <v>1200</v>
      </c>
      <c r="G32" s="14">
        <v>600</v>
      </c>
      <c r="H32" s="15" t="s">
        <v>14</v>
      </c>
    </row>
    <row r="33" spans="1:8" ht="15" customHeight="1" x14ac:dyDescent="0.5">
      <c r="A33" s="51" t="s">
        <v>62</v>
      </c>
      <c r="B33" s="16"/>
      <c r="C33" s="16"/>
      <c r="D33" s="50" t="s">
        <v>47</v>
      </c>
      <c r="E33" s="12">
        <v>1</v>
      </c>
      <c r="F33" s="16">
        <v>20</v>
      </c>
      <c r="G33" s="14">
        <v>20</v>
      </c>
      <c r="H33" s="15" t="s">
        <v>14</v>
      </c>
    </row>
    <row r="34" spans="1:8" ht="15" customHeight="1" x14ac:dyDescent="0.5">
      <c r="A34" s="11"/>
      <c r="D34" s="13"/>
      <c r="E34" s="13"/>
      <c r="G34" s="14"/>
      <c r="H34" s="15" t="s">
        <v>14</v>
      </c>
    </row>
    <row r="35" spans="1:8" ht="15" customHeight="1" x14ac:dyDescent="0.5">
      <c r="A35" s="11"/>
      <c r="B35" s="66" t="s">
        <v>16</v>
      </c>
      <c r="C35" s="62"/>
      <c r="D35" s="62"/>
      <c r="E35" s="62"/>
      <c r="F35" s="62"/>
      <c r="G35" s="14">
        <f>SUM(G30:G34)</f>
        <v>655</v>
      </c>
      <c r="H35" s="15" t="s">
        <v>14</v>
      </c>
    </row>
    <row r="36" spans="1:8" ht="15" customHeight="1" x14ac:dyDescent="0.5">
      <c r="A36" s="11"/>
      <c r="B36" s="66" t="s">
        <v>17</v>
      </c>
      <c r="C36" s="62"/>
      <c r="D36" s="62"/>
      <c r="E36" s="62"/>
      <c r="F36" s="62"/>
      <c r="G36" s="22">
        <v>0.25</v>
      </c>
      <c r="H36" s="22"/>
    </row>
    <row r="37" spans="1:8" ht="15" customHeight="1" x14ac:dyDescent="0.5">
      <c r="A37" s="23"/>
      <c r="B37" s="70" t="s">
        <v>20</v>
      </c>
      <c r="C37" s="62"/>
      <c r="D37" s="62"/>
      <c r="E37" s="62"/>
      <c r="F37" s="62"/>
      <c r="G37" s="14">
        <f>G35*(1+G36)</f>
        <v>818.75</v>
      </c>
      <c r="H37" s="15" t="s">
        <v>14</v>
      </c>
    </row>
    <row r="38" spans="1:8" ht="15" customHeight="1" x14ac:dyDescent="0.5">
      <c r="A38" s="24"/>
      <c r="B38" s="25"/>
      <c r="C38" s="25"/>
      <c r="D38" s="12"/>
      <c r="E38" s="12"/>
      <c r="F38" s="26"/>
      <c r="G38" s="27"/>
      <c r="H38" s="14"/>
    </row>
    <row r="39" spans="1:8" ht="15" customHeight="1" x14ac:dyDescent="0.5">
      <c r="A39" s="24" t="s">
        <v>21</v>
      </c>
      <c r="B39" s="55" t="s">
        <v>64</v>
      </c>
      <c r="C39" s="53"/>
      <c r="D39" s="59"/>
      <c r="E39" s="12"/>
      <c r="F39" s="26">
        <v>0</v>
      </c>
      <c r="G39" s="27">
        <v>820</v>
      </c>
      <c r="H39" s="15" t="s">
        <v>14</v>
      </c>
    </row>
    <row r="40" spans="1:8" ht="15" customHeight="1" x14ac:dyDescent="0.5">
      <c r="A40" s="28"/>
      <c r="B40" s="68" t="s">
        <v>56</v>
      </c>
      <c r="C40" s="69"/>
      <c r="D40" s="69"/>
      <c r="E40" s="69"/>
      <c r="F40" s="69"/>
      <c r="G40" s="27">
        <f>G39-G37</f>
        <v>1.25</v>
      </c>
      <c r="H40" s="15" t="s">
        <v>14</v>
      </c>
    </row>
    <row r="41" spans="1:8" ht="15" customHeight="1" x14ac:dyDescent="0.5">
      <c r="A41" s="54" t="s">
        <v>54</v>
      </c>
      <c r="B41" s="7" t="s">
        <v>7</v>
      </c>
      <c r="C41" s="7" t="s">
        <v>8</v>
      </c>
      <c r="D41" s="8" t="s">
        <v>9</v>
      </c>
      <c r="E41" s="8" t="s">
        <v>10</v>
      </c>
      <c r="F41" s="9" t="s">
        <v>11</v>
      </c>
      <c r="G41" s="29" t="s">
        <v>12</v>
      </c>
      <c r="H41" s="29" t="s">
        <v>13</v>
      </c>
    </row>
    <row r="42" spans="1:8" ht="15" customHeight="1" x14ac:dyDescent="0.5">
      <c r="A42" s="11"/>
      <c r="D42" s="12"/>
      <c r="E42" s="13"/>
      <c r="F42" s="16"/>
      <c r="G42" s="15"/>
      <c r="H42" s="15" t="s">
        <v>14</v>
      </c>
    </row>
    <row r="43" spans="1:8" ht="15" customHeight="1" x14ac:dyDescent="0.5">
      <c r="A43" s="51"/>
      <c r="B43" s="16"/>
      <c r="C43" s="16"/>
      <c r="D43" s="50"/>
      <c r="E43" s="12"/>
      <c r="F43" s="16"/>
      <c r="G43" s="14"/>
      <c r="H43" s="15" t="s">
        <v>14</v>
      </c>
    </row>
    <row r="44" spans="1:8" ht="15" customHeight="1" x14ac:dyDescent="0.5">
      <c r="A44" s="51"/>
      <c r="C44" s="16"/>
      <c r="D44" s="50"/>
      <c r="E44" s="13"/>
      <c r="G44" s="14"/>
      <c r="H44" s="15" t="s">
        <v>14</v>
      </c>
    </row>
    <row r="45" spans="1:8" ht="15" customHeight="1" x14ac:dyDescent="0.5">
      <c r="A45" s="51"/>
      <c r="B45" s="16"/>
      <c r="D45" s="50"/>
      <c r="E45" s="13"/>
      <c r="G45" s="14"/>
      <c r="H45" s="15" t="s">
        <v>14</v>
      </c>
    </row>
    <row r="46" spans="1:8" ht="15" customHeight="1" x14ac:dyDescent="0.5">
      <c r="A46" s="11"/>
      <c r="B46" s="66" t="s">
        <v>16</v>
      </c>
      <c r="C46" s="62"/>
      <c r="D46" s="62"/>
      <c r="E46" s="62"/>
      <c r="F46" s="62"/>
      <c r="G46" s="14">
        <f>SUM(G41:G45)</f>
        <v>0</v>
      </c>
      <c r="H46" s="15" t="s">
        <v>14</v>
      </c>
    </row>
    <row r="47" spans="1:8" ht="15" customHeight="1" x14ac:dyDescent="0.5">
      <c r="A47" s="11"/>
      <c r="B47" s="71" t="s">
        <v>17</v>
      </c>
      <c r="C47" s="62"/>
      <c r="D47" s="62"/>
      <c r="E47" s="62"/>
      <c r="F47" s="62"/>
      <c r="G47" s="22">
        <v>0.25</v>
      </c>
      <c r="H47" s="22"/>
    </row>
    <row r="48" spans="1:8" ht="15" customHeight="1" x14ac:dyDescent="0.5">
      <c r="A48" s="11"/>
      <c r="B48" s="67" t="s">
        <v>24</v>
      </c>
      <c r="C48" s="62"/>
      <c r="D48" s="62"/>
      <c r="E48" s="62"/>
      <c r="F48" s="62"/>
      <c r="G48" s="14">
        <f>G46*(1+G47)</f>
        <v>0</v>
      </c>
      <c r="H48" s="15" t="s">
        <v>14</v>
      </c>
    </row>
    <row r="49" spans="1:8" ht="15" customHeight="1" x14ac:dyDescent="0.5">
      <c r="A49" s="24"/>
      <c r="B49" s="25"/>
      <c r="C49" s="25"/>
      <c r="D49" s="12"/>
      <c r="E49" s="12"/>
      <c r="F49" s="26"/>
      <c r="G49" s="27"/>
      <c r="H49" s="14"/>
    </row>
    <row r="50" spans="1:8" ht="15" customHeight="1" x14ac:dyDescent="0.5">
      <c r="A50" s="24" t="s">
        <v>23</v>
      </c>
      <c r="B50" s="55"/>
      <c r="C50" s="53"/>
      <c r="D50" s="59"/>
      <c r="E50" s="12"/>
      <c r="F50" s="26"/>
      <c r="G50" s="27"/>
      <c r="H50" s="15" t="s">
        <v>14</v>
      </c>
    </row>
    <row r="51" spans="1:8" ht="15" customHeight="1" x14ac:dyDescent="0.5">
      <c r="A51" s="28"/>
      <c r="B51" s="68" t="s">
        <v>22</v>
      </c>
      <c r="C51" s="69"/>
      <c r="D51" s="69"/>
      <c r="E51" s="69"/>
      <c r="F51" s="69"/>
      <c r="G51" s="27">
        <f>G50-G48</f>
        <v>0</v>
      </c>
      <c r="H51" s="15" t="s">
        <v>14</v>
      </c>
    </row>
    <row r="52" spans="1:8" ht="15" customHeight="1" x14ac:dyDescent="0.5">
      <c r="A52" s="63" t="s">
        <v>25</v>
      </c>
      <c r="B52" s="64"/>
      <c r="C52" s="64"/>
      <c r="D52" s="64"/>
      <c r="E52" s="64"/>
      <c r="F52" s="64"/>
      <c r="G52" s="64"/>
      <c r="H52" s="65"/>
    </row>
    <row r="53" spans="1:8" ht="15" customHeight="1" x14ac:dyDescent="0.5">
      <c r="A53" s="72"/>
      <c r="B53" s="69"/>
      <c r="C53" s="69"/>
      <c r="D53" s="69"/>
      <c r="E53" s="69"/>
      <c r="F53" s="69"/>
      <c r="G53" s="69"/>
      <c r="H53" s="73"/>
    </row>
    <row r="54" spans="1:8" ht="15" customHeight="1" x14ac:dyDescent="0.5">
      <c r="A54" s="63" t="s">
        <v>26</v>
      </c>
      <c r="B54" s="64"/>
      <c r="C54" s="64"/>
      <c r="D54" s="64"/>
      <c r="E54" s="64"/>
      <c r="F54" s="64"/>
      <c r="G54" s="64"/>
      <c r="H54" s="65"/>
    </row>
    <row r="55" spans="1:8" ht="15" customHeight="1" x14ac:dyDescent="0.5">
      <c r="A55" s="20" t="s">
        <v>27</v>
      </c>
      <c r="B55" s="7" t="s">
        <v>7</v>
      </c>
      <c r="C55" s="7" t="s">
        <v>8</v>
      </c>
      <c r="D55" s="8" t="s">
        <v>9</v>
      </c>
      <c r="E55" s="30" t="s">
        <v>28</v>
      </c>
      <c r="F55" s="9" t="s">
        <v>11</v>
      </c>
      <c r="G55" s="29" t="s">
        <v>12</v>
      </c>
      <c r="H55" s="29" t="s">
        <v>13</v>
      </c>
    </row>
    <row r="56" spans="1:8" ht="15" customHeight="1" x14ac:dyDescent="0.5">
      <c r="A56" s="53" t="s">
        <v>59</v>
      </c>
      <c r="B56" s="53" t="s">
        <v>58</v>
      </c>
      <c r="C56" s="50" t="s">
        <v>57</v>
      </c>
      <c r="D56" s="59" t="s">
        <v>60</v>
      </c>
      <c r="E56" s="59" t="s">
        <v>34</v>
      </c>
      <c r="F56" s="26">
        <v>2000</v>
      </c>
      <c r="G56" s="32">
        <v>820</v>
      </c>
      <c r="H56" s="33" t="s">
        <v>14</v>
      </c>
    </row>
    <row r="57" spans="1:8" ht="15" customHeight="1" x14ac:dyDescent="0.5">
      <c r="A57" s="34"/>
      <c r="B57" s="25"/>
      <c r="C57" s="25"/>
      <c r="D57" s="12"/>
      <c r="E57" s="12"/>
      <c r="F57" s="26"/>
      <c r="G57" s="27"/>
      <c r="H57" s="35"/>
    </row>
    <row r="58" spans="1:8" ht="15" customHeight="1" x14ac:dyDescent="0.5">
      <c r="A58" s="74" t="s">
        <v>29</v>
      </c>
      <c r="B58" s="55"/>
      <c r="C58" s="25"/>
      <c r="D58" s="12"/>
      <c r="E58" s="12"/>
      <c r="F58" s="26"/>
      <c r="G58" s="27"/>
      <c r="H58" s="15" t="s">
        <v>14</v>
      </c>
    </row>
    <row r="59" spans="1:8" ht="15" customHeight="1" x14ac:dyDescent="0.5">
      <c r="A59" s="75"/>
      <c r="B59" s="25"/>
      <c r="C59" s="25"/>
      <c r="D59" s="12"/>
      <c r="E59" s="12"/>
      <c r="F59" s="26"/>
      <c r="G59" s="27"/>
      <c r="H59" s="15" t="s">
        <v>14</v>
      </c>
    </row>
    <row r="60" spans="1:8" ht="15" customHeight="1" x14ac:dyDescent="0.5">
      <c r="A60" s="75"/>
      <c r="B60" s="60"/>
      <c r="D60" s="12"/>
      <c r="E60" s="13"/>
      <c r="G60" s="14"/>
      <c r="H60" s="15" t="s">
        <v>14</v>
      </c>
    </row>
    <row r="61" spans="1:8" ht="15" customHeight="1" x14ac:dyDescent="0.5">
      <c r="A61" s="34"/>
      <c r="B61" s="76" t="s">
        <v>30</v>
      </c>
      <c r="C61" s="62"/>
      <c r="D61" s="62"/>
      <c r="E61" s="62"/>
      <c r="F61" s="62"/>
      <c r="G61" s="32">
        <f>G56-SUM(G58:G60)</f>
        <v>820</v>
      </c>
      <c r="H61" s="33" t="s">
        <v>14</v>
      </c>
    </row>
    <row r="62" spans="1:8" ht="15" customHeight="1" x14ac:dyDescent="0.5">
      <c r="A62" s="34"/>
      <c r="B62" s="2"/>
      <c r="C62" s="2"/>
      <c r="D62" s="18"/>
      <c r="E62" s="18"/>
      <c r="F62" s="18"/>
      <c r="G62" s="36"/>
      <c r="H62" s="37"/>
    </row>
    <row r="63" spans="1:8" ht="15" customHeight="1" x14ac:dyDescent="0.5">
      <c r="A63" s="20" t="s">
        <v>31</v>
      </c>
      <c r="B63" s="7" t="s">
        <v>7</v>
      </c>
      <c r="C63" s="7" t="s">
        <v>8</v>
      </c>
      <c r="D63" s="8" t="s">
        <v>9</v>
      </c>
      <c r="E63" s="30" t="s">
        <v>28</v>
      </c>
      <c r="F63" s="9" t="s">
        <v>11</v>
      </c>
      <c r="G63" s="29" t="s">
        <v>12</v>
      </c>
      <c r="H63" s="29" t="s">
        <v>13</v>
      </c>
    </row>
    <row r="64" spans="1:8" ht="15" customHeight="1" x14ac:dyDescent="0.5">
      <c r="A64" s="31" t="s">
        <v>32</v>
      </c>
      <c r="B64" s="25"/>
      <c r="C64" s="12"/>
      <c r="D64" s="12"/>
      <c r="E64" s="12"/>
      <c r="F64" s="26"/>
      <c r="G64" s="32"/>
      <c r="H64" s="33" t="s">
        <v>14</v>
      </c>
    </row>
    <row r="65" spans="1:8" ht="15" customHeight="1" x14ac:dyDescent="0.5">
      <c r="A65" s="34"/>
      <c r="B65" s="25"/>
      <c r="C65" s="25"/>
      <c r="D65" s="12"/>
      <c r="E65" s="12"/>
      <c r="F65" s="26"/>
      <c r="G65" s="27"/>
      <c r="H65" s="35"/>
    </row>
    <row r="66" spans="1:8" ht="15" customHeight="1" x14ac:dyDescent="0.5">
      <c r="A66" s="74" t="s">
        <v>35</v>
      </c>
      <c r="B66" s="25"/>
      <c r="C66" s="25"/>
      <c r="D66" s="12"/>
      <c r="E66" s="12"/>
      <c r="F66" s="26"/>
      <c r="G66" s="27"/>
      <c r="H66" s="15" t="s">
        <v>14</v>
      </c>
    </row>
    <row r="67" spans="1:8" ht="15" customHeight="1" x14ac:dyDescent="0.5">
      <c r="A67" s="75"/>
      <c r="B67" s="25"/>
      <c r="C67" s="25"/>
      <c r="D67" s="12"/>
      <c r="E67" s="12"/>
      <c r="F67" s="26"/>
      <c r="G67" s="27"/>
      <c r="H67" s="15"/>
    </row>
    <row r="68" spans="1:8" ht="15" customHeight="1" x14ac:dyDescent="0.5">
      <c r="A68" s="75"/>
      <c r="B68" s="16"/>
      <c r="D68" s="12"/>
      <c r="E68" s="13"/>
      <c r="G68" s="14"/>
      <c r="H68" s="15"/>
    </row>
    <row r="69" spans="1:8" ht="15" customHeight="1" x14ac:dyDescent="0.5">
      <c r="A69" s="34"/>
      <c r="B69" s="76" t="s">
        <v>36</v>
      </c>
      <c r="C69" s="62"/>
      <c r="D69" s="62"/>
      <c r="E69" s="62"/>
      <c r="F69" s="62"/>
      <c r="G69" s="32">
        <f>G64-SUM(G66:G68)</f>
        <v>0</v>
      </c>
      <c r="H69" s="33" t="s">
        <v>14</v>
      </c>
    </row>
    <row r="70" spans="1:8" ht="15" customHeight="1" x14ac:dyDescent="0.5">
      <c r="A70" s="23"/>
      <c r="B70" s="16"/>
      <c r="D70" s="38"/>
      <c r="E70" s="12"/>
      <c r="F70" s="16"/>
      <c r="G70" s="14"/>
      <c r="H70" s="39"/>
    </row>
    <row r="71" spans="1:8" ht="15" customHeight="1" x14ac:dyDescent="0.5">
      <c r="A71" s="63" t="s">
        <v>37</v>
      </c>
      <c r="B71" s="64"/>
      <c r="C71" s="64"/>
      <c r="D71" s="64"/>
      <c r="E71" s="64"/>
      <c r="F71" s="77"/>
      <c r="G71" s="40"/>
      <c r="H71" s="40"/>
    </row>
    <row r="72" spans="1:8" ht="15" customHeight="1" x14ac:dyDescent="0.5">
      <c r="A72" s="41"/>
      <c r="B72" s="42" t="s">
        <v>7</v>
      </c>
      <c r="C72" s="42" t="s">
        <v>8</v>
      </c>
      <c r="D72" s="43" t="s">
        <v>9</v>
      </c>
      <c r="E72" s="43"/>
      <c r="F72" s="44" t="s">
        <v>38</v>
      </c>
      <c r="G72" s="45" t="s">
        <v>39</v>
      </c>
      <c r="H72" s="46"/>
    </row>
    <row r="73" spans="1:8" ht="15" customHeight="1" x14ac:dyDescent="0.5">
      <c r="A73" s="11"/>
      <c r="B73" t="s">
        <v>33</v>
      </c>
      <c r="D73" s="12"/>
      <c r="E73" s="13"/>
      <c r="F73" s="16"/>
      <c r="G73" s="14">
        <f>SUM(G66:G68)</f>
        <v>0</v>
      </c>
      <c r="H73" s="14"/>
    </row>
    <row r="74" spans="1:8" ht="15" customHeight="1" x14ac:dyDescent="0.5">
      <c r="A74" s="11"/>
      <c r="D74" s="13"/>
      <c r="E74" s="13"/>
      <c r="F74" s="21" t="s">
        <v>40</v>
      </c>
      <c r="G74" s="14" t="e">
        <f>F73/G73</f>
        <v>#DIV/0!</v>
      </c>
      <c r="H74" s="15" t="s">
        <v>41</v>
      </c>
    </row>
    <row r="75" spans="1:8" ht="15" customHeight="1" x14ac:dyDescent="0.5">
      <c r="A75" s="78" t="s">
        <v>42</v>
      </c>
      <c r="B75" s="62"/>
      <c r="C75" s="62"/>
      <c r="D75" s="62"/>
      <c r="E75" s="62"/>
      <c r="F75" s="62"/>
      <c r="G75" s="47"/>
      <c r="H75" s="47"/>
    </row>
    <row r="76" spans="1:8" ht="15" customHeight="1" x14ac:dyDescent="0.5">
      <c r="A76" s="79" t="s">
        <v>65</v>
      </c>
      <c r="B76" s="79"/>
      <c r="C76" s="79"/>
      <c r="D76" s="79"/>
      <c r="E76" s="79"/>
      <c r="F76" s="79"/>
      <c r="G76" s="79"/>
      <c r="H76" s="79"/>
    </row>
    <row r="77" spans="1:8" ht="43.9" customHeight="1" x14ac:dyDescent="0.5">
      <c r="A77" s="79"/>
      <c r="B77" s="79"/>
      <c r="C77" s="79"/>
      <c r="D77" s="79"/>
      <c r="E77" s="79"/>
      <c r="F77" s="79"/>
      <c r="G77" s="79"/>
      <c r="H77" s="79"/>
    </row>
  </sheetData>
  <mergeCells count="25">
    <mergeCell ref="A66:A68"/>
    <mergeCell ref="B69:F69"/>
    <mergeCell ref="A71:F71"/>
    <mergeCell ref="A75:F75"/>
    <mergeCell ref="A76:H77"/>
    <mergeCell ref="A52:H52"/>
    <mergeCell ref="A53:H53"/>
    <mergeCell ref="A54:H54"/>
    <mergeCell ref="A58:A60"/>
    <mergeCell ref="B61:F61"/>
    <mergeCell ref="B40:F40"/>
    <mergeCell ref="B46:F46"/>
    <mergeCell ref="B47:F47"/>
    <mergeCell ref="B48:F48"/>
    <mergeCell ref="B51:F51"/>
    <mergeCell ref="B25:F25"/>
    <mergeCell ref="B28:F28"/>
    <mergeCell ref="B35:F35"/>
    <mergeCell ref="B36:F36"/>
    <mergeCell ref="B37:F37"/>
    <mergeCell ref="A1:H1"/>
    <mergeCell ref="A7:H7"/>
    <mergeCell ref="A16:H16"/>
    <mergeCell ref="B23:F23"/>
    <mergeCell ref="B24:F24"/>
  </mergeCells>
  <conditionalFormatting sqref="G28 G40 G51">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Caleb Yuen</cp:lastModifiedBy>
  <dcterms:created xsi:type="dcterms:W3CDTF">2025-10-26T00:50:37Z</dcterms:created>
  <dcterms:modified xsi:type="dcterms:W3CDTF">2025-12-08T21:27:57Z</dcterms:modified>
</cp:coreProperties>
</file>